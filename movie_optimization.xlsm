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ophieahn/Desktop/ISOM/"/>
    </mc:Choice>
  </mc:AlternateContent>
  <xr:revisionPtr revIDLastSave="0" documentId="13_ncr:1_{BC7DE326-CDE9-4A4B-B998-6B164F10D121}" xr6:coauthVersionLast="45" xr6:coauthVersionMax="45" xr10:uidLastSave="{00000000-0000-0000-0000-000000000000}"/>
  <bookViews>
    <workbookView xWindow="660" yWindow="460" windowWidth="24860" windowHeight="15000" activeTab="2" xr2:uid="{63855849-8982-FF46-88BF-FEF84FA410E5}"/>
  </bookViews>
  <sheets>
    <sheet name="user input" sheetId="1" r:id="rId1"/>
    <sheet name="optimization" sheetId="2" r:id="rId2"/>
    <sheet name="result" sheetId="3" r:id="rId3"/>
  </sheets>
  <definedNames>
    <definedName name="solver_adj" localSheetId="1" hidden="1">optimization!$G$2:$J$12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itr" localSheetId="1" hidden="1">2147483647</definedName>
    <definedName name="solver_lhs1" localSheetId="1" hidden="1">optimization!$G$2:$J$12</definedName>
    <definedName name="solver_lhs2" localSheetId="1" hidden="1">optimization!$K$2:$K$12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opt" localSheetId="1" hidden="1">optimization!$B$14</definedName>
    <definedName name="solver_pre" localSheetId="1" hidden="1">0.000001</definedName>
    <definedName name="solver_rbv" localSheetId="1" hidden="1">1</definedName>
    <definedName name="solver_rel1" localSheetId="1" hidden="1">5</definedName>
    <definedName name="solver_rel2" localSheetId="1" hidden="1">1</definedName>
    <definedName name="solver_rhs1" localSheetId="1" hidden="1">binary</definedName>
    <definedName name="solver_rhs2" localSheetId="1" hidden="1">optimization!$M$2:$M$12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2" l="1"/>
  <c r="C27" i="2"/>
  <c r="D27" i="2"/>
  <c r="E27" i="2"/>
  <c r="B27" i="2"/>
  <c r="C26" i="2"/>
  <c r="G25" i="2" s="1"/>
  <c r="D26" i="2"/>
  <c r="G26" i="2" s="1"/>
  <c r="E26" i="2"/>
  <c r="G27" i="2" s="1"/>
  <c r="B26" i="2"/>
  <c r="G24" i="2" s="1"/>
  <c r="C25" i="2"/>
  <c r="D25" i="2"/>
  <c r="E25" i="2"/>
  <c r="B25" i="2"/>
  <c r="C24" i="2"/>
  <c r="D24" i="2"/>
  <c r="E24" i="2"/>
  <c r="B24" i="2"/>
  <c r="C23" i="2"/>
  <c r="D23" i="2"/>
  <c r="E23" i="2"/>
  <c r="B23" i="2"/>
  <c r="C22" i="2"/>
  <c r="D22" i="2"/>
  <c r="E22" i="2"/>
  <c r="B22" i="2"/>
  <c r="C21" i="2"/>
  <c r="D21" i="2"/>
  <c r="E21" i="2"/>
  <c r="B21" i="2"/>
  <c r="E20" i="2"/>
  <c r="C20" i="2"/>
  <c r="D20" i="2"/>
  <c r="B20" i="2"/>
  <c r="C19" i="2"/>
  <c r="D19" i="2"/>
  <c r="E19" i="2"/>
  <c r="B19" i="2"/>
  <c r="C18" i="2"/>
  <c r="D18" i="2"/>
  <c r="E18" i="2"/>
  <c r="C17" i="2"/>
  <c r="D17" i="2"/>
  <c r="E17" i="2"/>
  <c r="B17" i="2"/>
  <c r="K3" i="2"/>
  <c r="K4" i="2"/>
  <c r="K5" i="2"/>
  <c r="K6" i="2"/>
  <c r="K7" i="2"/>
  <c r="K8" i="2"/>
  <c r="K9" i="2"/>
  <c r="K10" i="2"/>
  <c r="K11" i="2"/>
  <c r="K12" i="2"/>
  <c r="K2" i="2"/>
  <c r="B14" i="2"/>
  <c r="F4" i="1"/>
  <c r="F5" i="1"/>
  <c r="F6" i="1"/>
  <c r="F7" i="1"/>
  <c r="F8" i="1"/>
  <c r="F9" i="1"/>
  <c r="F10" i="1"/>
  <c r="F11" i="1"/>
  <c r="F12" i="1"/>
  <c r="F13" i="1"/>
  <c r="F3" i="1"/>
</calcChain>
</file>

<file path=xl/sharedStrings.xml><?xml version="1.0" encoding="utf-8"?>
<sst xmlns="http://schemas.openxmlformats.org/spreadsheetml/2006/main" count="65" uniqueCount="29">
  <si>
    <t>comedy</t>
  </si>
  <si>
    <t>action</t>
  </si>
  <si>
    <t>thriller</t>
  </si>
  <si>
    <t>romance</t>
  </si>
  <si>
    <t>sci-fi</t>
  </si>
  <si>
    <t>reality</t>
  </si>
  <si>
    <t>documentary</t>
  </si>
  <si>
    <t>kids</t>
  </si>
  <si>
    <t>animation</t>
  </si>
  <si>
    <t>horro</t>
  </si>
  <si>
    <t>drama</t>
  </si>
  <si>
    <t>winter</t>
  </si>
  <si>
    <t>spring</t>
  </si>
  <si>
    <t>summer</t>
  </si>
  <si>
    <t>fall</t>
  </si>
  <si>
    <t>Indicate your preference by bidding points (total points = 10) for each genres for each season</t>
  </si>
  <si>
    <t>Total Bid Points</t>
  </si>
  <si>
    <t>Total points</t>
  </si>
  <si>
    <t>binary constraints</t>
  </si>
  <si>
    <t>&lt;=</t>
  </si>
  <si>
    <t>action,thriller</t>
  </si>
  <si>
    <t>kids,drama</t>
  </si>
  <si>
    <t/>
  </si>
  <si>
    <t>horror</t>
  </si>
  <si>
    <t>comedy,romance,reality,animation,horror</t>
  </si>
  <si>
    <t>winter:</t>
  </si>
  <si>
    <t>spring:</t>
  </si>
  <si>
    <t>summer:</t>
  </si>
  <si>
    <t>fall: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</si>
</sst>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7E79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11</xdr:row>
          <xdr:rowOff>12700</xdr:rowOff>
        </xdr:from>
        <xdr:to>
          <xdr:col>7</xdr:col>
          <xdr:colOff>787400</xdr:colOff>
          <xdr:row>12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EF28F7C-44A3-5444-83D7-5ACE060F9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13</xdr:row>
          <xdr:rowOff>50800</xdr:rowOff>
        </xdr:from>
        <xdr:to>
          <xdr:col>7</xdr:col>
          <xdr:colOff>787400</xdr:colOff>
          <xdr:row>14</xdr:row>
          <xdr:rowOff>203200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1461F59-F919-B54B-80FB-EE970B751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20</xdr:row>
          <xdr:rowOff>0</xdr:rowOff>
        </xdr:from>
        <xdr:to>
          <xdr:col>6</xdr:col>
          <xdr:colOff>711200</xdr:colOff>
          <xdr:row>21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64300A40-258D-8543-8CFE-AD860133C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5A3A4-952D-A64B-9C36-AFC4A6919606}">
  <sheetPr codeName="Sheet1"/>
  <dimension ref="A1:H19"/>
  <sheetViews>
    <sheetView workbookViewId="0">
      <selection activeCell="B3" sqref="B3:E13"/>
    </sheetView>
  </sheetViews>
  <sheetFormatPr baseColWidth="10" defaultRowHeight="16"/>
  <cols>
    <col min="1" max="1" width="13.1640625" customWidth="1"/>
    <col min="3" max="3" width="12.5" bestFit="1" customWidth="1"/>
  </cols>
  <sheetData>
    <row r="1" spans="1:8">
      <c r="A1" t="s">
        <v>15</v>
      </c>
    </row>
    <row r="2" spans="1:8">
      <c r="B2" t="s">
        <v>11</v>
      </c>
      <c r="C2" t="s">
        <v>12</v>
      </c>
      <c r="D2" t="s">
        <v>13</v>
      </c>
      <c r="E2" t="s">
        <v>14</v>
      </c>
      <c r="F2" t="s">
        <v>16</v>
      </c>
    </row>
    <row r="3" spans="1:8">
      <c r="A3" t="s">
        <v>0</v>
      </c>
      <c r="B3" s="1">
        <v>2</v>
      </c>
      <c r="C3">
        <v>4</v>
      </c>
      <c r="D3">
        <v>3</v>
      </c>
      <c r="E3">
        <v>1</v>
      </c>
      <c r="F3">
        <f>SUM(B3:E3)</f>
        <v>10</v>
      </c>
    </row>
    <row r="4" spans="1:8">
      <c r="A4" t="s">
        <v>1</v>
      </c>
      <c r="B4">
        <v>5</v>
      </c>
      <c r="C4">
        <v>1</v>
      </c>
      <c r="D4">
        <v>1</v>
      </c>
      <c r="E4">
        <v>3</v>
      </c>
      <c r="F4">
        <f t="shared" ref="F4:F13" si="0">SUM(B4:E4)</f>
        <v>10</v>
      </c>
      <c r="G4" s="1"/>
    </row>
    <row r="5" spans="1:8">
      <c r="A5" t="s">
        <v>2</v>
      </c>
      <c r="B5">
        <v>8</v>
      </c>
      <c r="C5">
        <v>1</v>
      </c>
      <c r="D5">
        <v>1</v>
      </c>
      <c r="E5">
        <v>0</v>
      </c>
      <c r="F5">
        <f t="shared" si="0"/>
        <v>10</v>
      </c>
    </row>
    <row r="6" spans="1:8">
      <c r="A6" t="s">
        <v>3</v>
      </c>
      <c r="B6">
        <v>2</v>
      </c>
      <c r="C6">
        <v>7</v>
      </c>
      <c r="D6">
        <v>1</v>
      </c>
      <c r="E6">
        <v>0</v>
      </c>
      <c r="F6">
        <f t="shared" si="0"/>
        <v>10</v>
      </c>
    </row>
    <row r="7" spans="1:8">
      <c r="A7" t="s">
        <v>4</v>
      </c>
      <c r="B7">
        <v>0</v>
      </c>
      <c r="C7">
        <v>0</v>
      </c>
      <c r="D7">
        <v>0</v>
      </c>
      <c r="E7">
        <v>0</v>
      </c>
      <c r="F7">
        <f t="shared" si="0"/>
        <v>0</v>
      </c>
    </row>
    <row r="8" spans="1:8">
      <c r="A8" t="s">
        <v>5</v>
      </c>
      <c r="B8">
        <v>2</v>
      </c>
      <c r="C8">
        <v>5</v>
      </c>
      <c r="D8">
        <v>2</v>
      </c>
      <c r="E8">
        <v>1</v>
      </c>
      <c r="F8">
        <f t="shared" si="0"/>
        <v>10</v>
      </c>
    </row>
    <row r="9" spans="1:8">
      <c r="A9" t="s">
        <v>6</v>
      </c>
      <c r="B9">
        <v>0</v>
      </c>
      <c r="C9">
        <v>0</v>
      </c>
      <c r="D9">
        <v>0</v>
      </c>
      <c r="E9">
        <v>0</v>
      </c>
      <c r="F9">
        <f t="shared" si="0"/>
        <v>0</v>
      </c>
    </row>
    <row r="10" spans="1:8">
      <c r="A10" t="s">
        <v>7</v>
      </c>
      <c r="B10">
        <v>0</v>
      </c>
      <c r="C10">
        <v>2</v>
      </c>
      <c r="D10">
        <v>4</v>
      </c>
      <c r="E10">
        <v>3</v>
      </c>
      <c r="F10">
        <f t="shared" si="0"/>
        <v>9</v>
      </c>
    </row>
    <row r="11" spans="1:8">
      <c r="A11" t="s">
        <v>8</v>
      </c>
      <c r="B11">
        <v>0</v>
      </c>
      <c r="C11">
        <v>5</v>
      </c>
      <c r="D11">
        <v>2</v>
      </c>
      <c r="E11">
        <v>1</v>
      </c>
      <c r="F11">
        <f t="shared" si="0"/>
        <v>8</v>
      </c>
    </row>
    <row r="12" spans="1:8">
      <c r="A12" t="s">
        <v>9</v>
      </c>
      <c r="B12">
        <v>0</v>
      </c>
      <c r="C12">
        <v>6</v>
      </c>
      <c r="D12">
        <v>2</v>
      </c>
      <c r="E12">
        <v>2</v>
      </c>
      <c r="F12">
        <f t="shared" si="0"/>
        <v>10</v>
      </c>
    </row>
    <row r="13" spans="1:8">
      <c r="A13" t="s">
        <v>10</v>
      </c>
      <c r="B13">
        <v>0</v>
      </c>
      <c r="C13">
        <v>1</v>
      </c>
      <c r="D13">
        <v>9</v>
      </c>
      <c r="E13">
        <v>0</v>
      </c>
      <c r="F13">
        <f t="shared" si="0"/>
        <v>10</v>
      </c>
    </row>
    <row r="14" spans="1:8">
      <c r="H14" s="1"/>
    </row>
    <row r="19" spans="6:6">
      <c r="F1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Button 10">
              <controlPr defaultSize="0" print="0" autoFill="0" autoPict="0" macro="[0]!Button10_Click">
                <anchor moveWithCells="1" sizeWithCells="1">
                  <from>
                    <xdr:col>6</xdr:col>
                    <xdr:colOff>88900</xdr:colOff>
                    <xdr:row>11</xdr:row>
                    <xdr:rowOff>12700</xdr:rowOff>
                  </from>
                  <to>
                    <xdr:col>7</xdr:col>
                    <xdr:colOff>787400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2F34-0AF9-8940-936C-E24755007D39}">
  <sheetPr codeName="Sheet2"/>
  <dimension ref="A1:M27"/>
  <sheetViews>
    <sheetView workbookViewId="0">
      <selection activeCell="F24" sqref="F24:G27"/>
    </sheetView>
  </sheetViews>
  <sheetFormatPr baseColWidth="10" defaultRowHeight="16"/>
  <cols>
    <col min="1" max="1" width="11.83203125" bestFit="1" customWidth="1"/>
  </cols>
  <sheetData>
    <row r="1" spans="1:13">
      <c r="B1" t="s">
        <v>11</v>
      </c>
      <c r="C1" t="s">
        <v>12</v>
      </c>
      <c r="D1" t="s">
        <v>13</v>
      </c>
      <c r="E1" t="s">
        <v>14</v>
      </c>
      <c r="G1" t="s">
        <v>11</v>
      </c>
      <c r="H1" t="s">
        <v>12</v>
      </c>
      <c r="I1" t="s">
        <v>13</v>
      </c>
      <c r="J1" t="s">
        <v>14</v>
      </c>
      <c r="K1" t="s">
        <v>18</v>
      </c>
    </row>
    <row r="2" spans="1:13">
      <c r="A2" t="s">
        <v>0</v>
      </c>
      <c r="B2" s="1">
        <v>2</v>
      </c>
      <c r="C2">
        <v>4</v>
      </c>
      <c r="D2">
        <v>3</v>
      </c>
      <c r="E2">
        <v>1</v>
      </c>
      <c r="G2" s="2">
        <v>0</v>
      </c>
      <c r="H2" s="2">
        <v>1</v>
      </c>
      <c r="I2" s="2">
        <v>0</v>
      </c>
      <c r="J2" s="2">
        <v>0</v>
      </c>
      <c r="K2" s="4">
        <f>SUM(G2:J2)</f>
        <v>1</v>
      </c>
      <c r="L2" s="4" t="s">
        <v>19</v>
      </c>
      <c r="M2" s="4">
        <v>1</v>
      </c>
    </row>
    <row r="3" spans="1:13">
      <c r="A3" t="s">
        <v>1</v>
      </c>
      <c r="B3">
        <v>5</v>
      </c>
      <c r="C3">
        <v>1</v>
      </c>
      <c r="D3">
        <v>1</v>
      </c>
      <c r="E3">
        <v>3</v>
      </c>
      <c r="G3" s="2">
        <v>1</v>
      </c>
      <c r="H3" s="2">
        <v>0</v>
      </c>
      <c r="I3" s="2">
        <v>0</v>
      </c>
      <c r="J3" s="2">
        <v>0</v>
      </c>
      <c r="K3" s="4">
        <f t="shared" ref="K3:K12" si="0">SUM(G3:J3)</f>
        <v>1</v>
      </c>
      <c r="L3" s="4" t="s">
        <v>19</v>
      </c>
      <c r="M3" s="4">
        <v>1</v>
      </c>
    </row>
    <row r="4" spans="1:13">
      <c r="A4" t="s">
        <v>2</v>
      </c>
      <c r="B4">
        <v>8</v>
      </c>
      <c r="C4">
        <v>1</v>
      </c>
      <c r="D4">
        <v>1</v>
      </c>
      <c r="E4">
        <v>0</v>
      </c>
      <c r="G4" s="2">
        <v>1</v>
      </c>
      <c r="H4" s="2">
        <v>0</v>
      </c>
      <c r="I4" s="2">
        <v>0</v>
      </c>
      <c r="J4" s="2">
        <v>0</v>
      </c>
      <c r="K4" s="4">
        <f t="shared" si="0"/>
        <v>1</v>
      </c>
      <c r="L4" s="4" t="s">
        <v>19</v>
      </c>
      <c r="M4" s="4">
        <v>1</v>
      </c>
    </row>
    <row r="5" spans="1:13">
      <c r="A5" t="s">
        <v>3</v>
      </c>
      <c r="B5">
        <v>2</v>
      </c>
      <c r="C5">
        <v>7</v>
      </c>
      <c r="D5">
        <v>1</v>
      </c>
      <c r="E5">
        <v>0</v>
      </c>
      <c r="G5" s="2">
        <v>0</v>
      </c>
      <c r="H5" s="2">
        <v>1</v>
      </c>
      <c r="I5" s="2">
        <v>0</v>
      </c>
      <c r="J5" s="2">
        <v>0</v>
      </c>
      <c r="K5" s="4">
        <f t="shared" si="0"/>
        <v>1</v>
      </c>
      <c r="L5" s="4" t="s">
        <v>19</v>
      </c>
      <c r="M5" s="4">
        <v>1</v>
      </c>
    </row>
    <row r="6" spans="1:13">
      <c r="A6" t="s">
        <v>4</v>
      </c>
      <c r="B6">
        <v>0</v>
      </c>
      <c r="C6">
        <v>0</v>
      </c>
      <c r="D6">
        <v>0</v>
      </c>
      <c r="E6">
        <v>0</v>
      </c>
      <c r="G6" s="2">
        <v>0</v>
      </c>
      <c r="H6" s="2">
        <v>0</v>
      </c>
      <c r="I6" s="2">
        <v>0</v>
      </c>
      <c r="J6" s="2">
        <v>0</v>
      </c>
      <c r="K6" s="4">
        <f t="shared" si="0"/>
        <v>0</v>
      </c>
      <c r="L6" s="4" t="s">
        <v>19</v>
      </c>
      <c r="M6" s="4">
        <v>1</v>
      </c>
    </row>
    <row r="7" spans="1:13">
      <c r="A7" t="s">
        <v>5</v>
      </c>
      <c r="B7">
        <v>2</v>
      </c>
      <c r="C7">
        <v>5</v>
      </c>
      <c r="D7">
        <v>2</v>
      </c>
      <c r="E7">
        <v>1</v>
      </c>
      <c r="G7" s="2">
        <v>0</v>
      </c>
      <c r="H7" s="2">
        <v>1</v>
      </c>
      <c r="I7" s="2">
        <v>0</v>
      </c>
      <c r="J7" s="2">
        <v>0</v>
      </c>
      <c r="K7" s="4">
        <f t="shared" si="0"/>
        <v>1</v>
      </c>
      <c r="L7" s="4" t="s">
        <v>19</v>
      </c>
      <c r="M7" s="4">
        <v>1</v>
      </c>
    </row>
    <row r="8" spans="1:13">
      <c r="A8" t="s">
        <v>6</v>
      </c>
      <c r="B8">
        <v>0</v>
      </c>
      <c r="C8">
        <v>0</v>
      </c>
      <c r="D8">
        <v>0</v>
      </c>
      <c r="E8">
        <v>0</v>
      </c>
      <c r="G8" s="2">
        <v>0</v>
      </c>
      <c r="H8" s="2">
        <v>0</v>
      </c>
      <c r="I8" s="2">
        <v>0</v>
      </c>
      <c r="J8" s="2">
        <v>0</v>
      </c>
      <c r="K8" s="4">
        <f t="shared" si="0"/>
        <v>0</v>
      </c>
      <c r="L8" s="4" t="s">
        <v>19</v>
      </c>
      <c r="M8" s="4">
        <v>1</v>
      </c>
    </row>
    <row r="9" spans="1:13">
      <c r="A9" t="s">
        <v>7</v>
      </c>
      <c r="B9">
        <v>0</v>
      </c>
      <c r="C9">
        <v>2</v>
      </c>
      <c r="D9">
        <v>4</v>
      </c>
      <c r="E9">
        <v>3</v>
      </c>
      <c r="G9" s="2">
        <v>0</v>
      </c>
      <c r="H9" s="2">
        <v>0</v>
      </c>
      <c r="I9" s="2">
        <v>1</v>
      </c>
      <c r="J9" s="2">
        <v>0</v>
      </c>
      <c r="K9" s="4">
        <f t="shared" si="0"/>
        <v>1</v>
      </c>
      <c r="L9" s="4" t="s">
        <v>19</v>
      </c>
      <c r="M9" s="4">
        <v>1</v>
      </c>
    </row>
    <row r="10" spans="1:13">
      <c r="A10" t="s">
        <v>8</v>
      </c>
      <c r="B10">
        <v>0</v>
      </c>
      <c r="C10">
        <v>5</v>
      </c>
      <c r="D10">
        <v>2</v>
      </c>
      <c r="E10">
        <v>1</v>
      </c>
      <c r="G10" s="2">
        <v>0</v>
      </c>
      <c r="H10" s="2">
        <v>1</v>
      </c>
      <c r="I10" s="2">
        <v>0</v>
      </c>
      <c r="J10" s="2">
        <v>0</v>
      </c>
      <c r="K10" s="4">
        <f t="shared" si="0"/>
        <v>1</v>
      </c>
      <c r="L10" s="4" t="s">
        <v>19</v>
      </c>
      <c r="M10" s="4">
        <v>1</v>
      </c>
    </row>
    <row r="11" spans="1:13">
      <c r="A11" t="s">
        <v>23</v>
      </c>
      <c r="B11">
        <v>0</v>
      </c>
      <c r="C11">
        <v>6</v>
      </c>
      <c r="D11">
        <v>2</v>
      </c>
      <c r="E11">
        <v>2</v>
      </c>
      <c r="G11" s="2">
        <v>0</v>
      </c>
      <c r="H11" s="2">
        <v>1</v>
      </c>
      <c r="I11" s="2">
        <v>0</v>
      </c>
      <c r="J11" s="2">
        <v>0</v>
      </c>
      <c r="K11" s="4">
        <f t="shared" si="0"/>
        <v>1</v>
      </c>
      <c r="L11" s="4" t="s">
        <v>19</v>
      </c>
      <c r="M11" s="4">
        <v>1</v>
      </c>
    </row>
    <row r="12" spans="1:13">
      <c r="A12" t="s">
        <v>10</v>
      </c>
      <c r="B12">
        <v>0</v>
      </c>
      <c r="C12">
        <v>1</v>
      </c>
      <c r="D12">
        <v>9</v>
      </c>
      <c r="E12">
        <v>0</v>
      </c>
      <c r="G12" s="2">
        <v>0</v>
      </c>
      <c r="H12" s="2">
        <v>0</v>
      </c>
      <c r="I12" s="2">
        <v>1</v>
      </c>
      <c r="J12" s="2">
        <v>0</v>
      </c>
      <c r="K12" s="4">
        <f t="shared" si="0"/>
        <v>1</v>
      </c>
      <c r="L12" s="4" t="s">
        <v>19</v>
      </c>
      <c r="M12" s="4">
        <v>1</v>
      </c>
    </row>
    <row r="13" spans="1:13" ht="17" thickBot="1"/>
    <row r="14" spans="1:13" ht="18" thickTop="1" thickBot="1">
      <c r="A14" t="s">
        <v>17</v>
      </c>
      <c r="B14" s="3">
        <f>SUMPRODUCT(B2:E12,G2:J12)</f>
        <v>53</v>
      </c>
    </row>
    <row r="15" spans="1:13" ht="17" thickTop="1"/>
    <row r="16" spans="1:13">
      <c r="B16" t="s">
        <v>11</v>
      </c>
      <c r="C16" t="s">
        <v>12</v>
      </c>
      <c r="D16" t="s">
        <v>13</v>
      </c>
      <c r="E16" t="s">
        <v>14</v>
      </c>
    </row>
    <row r="17" spans="2:7">
      <c r="B17" t="str">
        <f>IF(G2=1,$A$2,"")</f>
        <v/>
      </c>
      <c r="C17" t="str">
        <f t="shared" ref="C17:E17" si="1">IF(H2=1,$A$2,"")</f>
        <v>comedy</v>
      </c>
      <c r="D17" t="str">
        <f t="shared" si="1"/>
        <v/>
      </c>
      <c r="E17" t="str">
        <f t="shared" si="1"/>
        <v/>
      </c>
    </row>
    <row r="18" spans="2:7">
      <c r="B18" t="str">
        <f>IF(G3=1,$A$3,"")</f>
        <v>action</v>
      </c>
      <c r="C18" t="str">
        <f t="shared" ref="C18:E18" si="2">IF(H3=1,$A$3,"")</f>
        <v/>
      </c>
      <c r="D18" t="str">
        <f t="shared" si="2"/>
        <v/>
      </c>
      <c r="E18" t="str">
        <f t="shared" si="2"/>
        <v/>
      </c>
    </row>
    <row r="19" spans="2:7">
      <c r="B19" t="str">
        <f>IF(G4=1,$A$4,"")</f>
        <v>thriller</v>
      </c>
      <c r="C19" t="str">
        <f t="shared" ref="C19:E19" si="3">IF(H4=1,$A$4,"")</f>
        <v/>
      </c>
      <c r="D19" t="str">
        <f t="shared" si="3"/>
        <v/>
      </c>
      <c r="E19" t="str">
        <f t="shared" si="3"/>
        <v/>
      </c>
    </row>
    <row r="20" spans="2:7">
      <c r="B20" t="str">
        <f>IF(G5=1,$A$5,"")</f>
        <v/>
      </c>
      <c r="C20" t="str">
        <f t="shared" ref="C20:D20" si="4">IF(H5=1,$A$5,"")</f>
        <v>romance</v>
      </c>
      <c r="D20" t="str">
        <f t="shared" si="4"/>
        <v/>
      </c>
      <c r="E20" t="str">
        <f>IF(J5=1,$A$5,"")</f>
        <v/>
      </c>
    </row>
    <row r="21" spans="2:7">
      <c r="B21" t="str">
        <f>IF(G6=1,$A$6,"")</f>
        <v/>
      </c>
      <c r="C21" t="str">
        <f t="shared" ref="C21:E21" si="5">IF(H6=1,$A$6,"")</f>
        <v/>
      </c>
      <c r="D21" t="str">
        <f t="shared" si="5"/>
        <v/>
      </c>
      <c r="E21" t="str">
        <f t="shared" si="5"/>
        <v/>
      </c>
    </row>
    <row r="22" spans="2:7">
      <c r="B22" t="str">
        <f>IF(G7=1,$A$7,"")</f>
        <v/>
      </c>
      <c r="C22" t="str">
        <f t="shared" ref="C22:E22" si="6">IF(H7=1,$A$7,"")</f>
        <v>reality</v>
      </c>
      <c r="D22" t="str">
        <f t="shared" si="6"/>
        <v/>
      </c>
      <c r="E22" t="str">
        <f t="shared" si="6"/>
        <v/>
      </c>
    </row>
    <row r="23" spans="2:7">
      <c r="B23" t="str">
        <f>IF(G8=1,$A$8,"")</f>
        <v/>
      </c>
      <c r="C23" t="str">
        <f t="shared" ref="C23:E23" si="7">IF(H8=1,$A$8,"")</f>
        <v/>
      </c>
      <c r="D23" t="str">
        <f t="shared" si="7"/>
        <v/>
      </c>
      <c r="E23" t="str">
        <f t="shared" si="7"/>
        <v/>
      </c>
    </row>
    <row r="24" spans="2:7">
      <c r="B24" t="str">
        <f>IF(G9=1,$A$9,"")</f>
        <v/>
      </c>
      <c r="C24" t="str">
        <f t="shared" ref="C24:E24" si="8">IF(H9=1,$A$9,"")</f>
        <v/>
      </c>
      <c r="D24" t="str">
        <f t="shared" si="8"/>
        <v>kids</v>
      </c>
      <c r="E24" t="str">
        <f t="shared" si="8"/>
        <v/>
      </c>
      <c r="F24" t="s">
        <v>25</v>
      </c>
      <c r="G24" t="str">
        <f>_xlfn.TEXTJOIN(",",TRUE,B17:B27)</f>
        <v>action,thriller</v>
      </c>
    </row>
    <row r="25" spans="2:7">
      <c r="B25" t="str">
        <f>IF(G10=1,$A$10,"")</f>
        <v/>
      </c>
      <c r="C25" t="str">
        <f t="shared" ref="C25:E25" si="9">IF(H10=1,$A$10,"")</f>
        <v>animation</v>
      </c>
      <c r="D25" t="str">
        <f t="shared" si="9"/>
        <v/>
      </c>
      <c r="E25" t="str">
        <f t="shared" si="9"/>
        <v/>
      </c>
      <c r="F25" t="s">
        <v>26</v>
      </c>
      <c r="G25" t="str">
        <f>_xlfn.TEXTJOIN(",",TRUE,C17:C27)</f>
        <v>comedy,romance,reality,animation,horror</v>
      </c>
    </row>
    <row r="26" spans="2:7">
      <c r="B26" t="str">
        <f>IF(G11=1,$A$11,"")</f>
        <v/>
      </c>
      <c r="C26" t="str">
        <f t="shared" ref="C26:E26" si="10">IF(H11=1,$A$11,"")</f>
        <v>horror</v>
      </c>
      <c r="D26" t="str">
        <f t="shared" si="10"/>
        <v/>
      </c>
      <c r="E26" t="str">
        <f t="shared" si="10"/>
        <v/>
      </c>
      <c r="F26" t="s">
        <v>27</v>
      </c>
      <c r="G26" t="str">
        <f>_xlfn.TEXTJOIN(",",TRUE,D17:D27)</f>
        <v>kids,drama</v>
      </c>
    </row>
    <row r="27" spans="2:7">
      <c r="B27" t="str">
        <f>IF(G12=1,$A$12,"")</f>
        <v/>
      </c>
      <c r="C27" t="str">
        <f t="shared" ref="C27:E27" si="11">IF(H12=1,$A$12,"")</f>
        <v/>
      </c>
      <c r="D27" t="str">
        <f t="shared" si="11"/>
        <v>drama</v>
      </c>
      <c r="E27" t="str">
        <f t="shared" si="11"/>
        <v/>
      </c>
      <c r="F27" t="s">
        <v>28</v>
      </c>
      <c r="G27" t="str">
        <f>_xlfn.TEXTJOIN(",",TRUE,E17:E27)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88900</xdr:colOff>
                    <xdr:row>13</xdr:row>
                    <xdr:rowOff>50800</xdr:rowOff>
                  </from>
                  <to>
                    <xdr:col>7</xdr:col>
                    <xdr:colOff>787400</xdr:colOff>
                    <xdr:row>14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Button9_Click">
                <anchor moveWithCells="1" sizeWithCells="1">
                  <from>
                    <xdr:col>5</xdr:col>
                    <xdr:colOff>12700</xdr:colOff>
                    <xdr:row>20</xdr:row>
                    <xdr:rowOff>0</xdr:rowOff>
                  </from>
                  <to>
                    <xdr:col>6</xdr:col>
                    <xdr:colOff>711200</xdr:colOff>
                    <xdr:row>21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5FC8C-B385-B342-A9B5-7FA3FCE570FA}">
  <sheetPr codeName="Sheet3"/>
  <dimension ref="A1:B4"/>
  <sheetViews>
    <sheetView tabSelected="1" workbookViewId="0">
      <selection sqref="A1:B4"/>
    </sheetView>
  </sheetViews>
  <sheetFormatPr baseColWidth="10" defaultRowHeight="16"/>
  <sheetData>
    <row r="1" spans="1:2">
      <c r="A1" t="s">
        <v>25</v>
      </c>
      <c r="B1" t="s">
        <v>20</v>
      </c>
    </row>
    <row r="2" spans="1:2">
      <c r="A2" t="s">
        <v>26</v>
      </c>
      <c r="B2" t="s">
        <v>24</v>
      </c>
    </row>
    <row r="3" spans="1:2">
      <c r="A3" t="s">
        <v>27</v>
      </c>
      <c r="B3" t="s">
        <v>21</v>
      </c>
    </row>
    <row r="4" spans="1:2">
      <c r="A4" t="s">
        <v>28</v>
      </c>
      <c r="B4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</vt:lpstr>
      <vt:lpstr>optimization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Sophie</dc:creator>
  <cp:lastModifiedBy>Ahn, Sophie</cp:lastModifiedBy>
  <dcterms:created xsi:type="dcterms:W3CDTF">2020-04-26T08:42:11Z</dcterms:created>
  <dcterms:modified xsi:type="dcterms:W3CDTF">2020-04-27T17:58:08Z</dcterms:modified>
</cp:coreProperties>
</file>